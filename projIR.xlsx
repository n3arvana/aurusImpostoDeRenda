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ichau\OneDrive\Documentos\"/>
    </mc:Choice>
  </mc:AlternateContent>
  <xr:revisionPtr revIDLastSave="0" documentId="13_ncr:2001_{80EA31AD-A7C7-4AF4-84CA-0245F49C6F1A}" xr6:coauthVersionLast="47" xr6:coauthVersionMax="47" xr10:uidLastSave="{00000000-0000-0000-0000-000000000000}"/>
  <bookViews>
    <workbookView xWindow="-120" yWindow="-120" windowWidth="29040" windowHeight="15720" tabRatio="257" firstSheet="1" activeTab="3" xr2:uid="{E870A209-2D3E-4BFB-B940-4EC66B63A4BD}"/>
  </bookViews>
  <sheets>
    <sheet name="TITULAR" sheetId="1" r:id="rId1"/>
    <sheet name="INFORME" sheetId="4" r:id="rId2"/>
    <sheet name="NOTAS" sheetId="5" r:id="rId3"/>
    <sheet name="DASHBOARD" sheetId="7" r:id="rId4"/>
    <sheet name="BANCOS" sheetId="6" state="hidden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7" l="1"/>
  <c r="C13" i="7"/>
  <c r="D12" i="7"/>
  <c r="C12" i="7"/>
  <c r="D11" i="7"/>
  <c r="C11" i="7"/>
  <c r="C8" i="4"/>
  <c r="E12" i="7" l="1"/>
  <c r="D14" i="7"/>
  <c r="E13" i="7"/>
  <c r="E11" i="7"/>
  <c r="E14" i="7" l="1"/>
</calcChain>
</file>

<file path=xl/sharedStrings.xml><?xml version="1.0" encoding="utf-8"?>
<sst xmlns="http://schemas.openxmlformats.org/spreadsheetml/2006/main" count="145" uniqueCount="96">
  <si>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</si>
  <si>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</si>
  <si>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</si>
  <si>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</si>
  <si>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</si>
  <si>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</si>
  <si>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</si>
  <si>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</si>
  <si>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</si>
  <si>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</si>
  <si>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</si>
  <si>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</si>
  <si>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</si>
  <si>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</si>
  <si>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</si>
  <si>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abaixo:</t>
  </si>
  <si>
    <t>SIM</t>
  </si>
  <si>
    <t>NÃO</t>
  </si>
  <si>
    <t>GUILHERME NIRVANA</t>
  </si>
  <si>
    <t>guilhermelolreidelas@gmail.com</t>
  </si>
  <si>
    <t>Rua dos Bobos. I, N° 369</t>
  </si>
  <si>
    <t>Rua dos Bobos. Idolatrados, N° 369</t>
  </si>
  <si>
    <t>Mai Shiranui</t>
  </si>
  <si>
    <t>08710-280</t>
  </si>
  <si>
    <t>Preencha os dados pessoais de cada banco:</t>
  </si>
  <si>
    <t>2. informes de rendimento bancário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</si>
  <si>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</si>
  <si>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</si>
  <si>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</si>
  <si>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</si>
  <si>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</si>
  <si>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</si>
  <si>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</si>
  <si>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</si>
  <si>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</si>
  <si>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</si>
  <si>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</si>
  <si>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</si>
  <si>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</si>
  <si>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</si>
  <si>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</si>
  <si>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</si>
  <si>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</si>
  <si>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</si>
  <si>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</si>
  <si>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</si>
  <si>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</si>
  <si>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</si>
  <si>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</si>
  <si>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</si>
  <si>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</si>
  <si>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</si>
  <si>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</si>
  <si>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</si>
  <si>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</si>
  <si>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</si>
  <si>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</si>
  <si>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</si>
  <si>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</si>
  <si>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</si>
  <si>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</si>
  <si>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</si>
  <si>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</si>
  <si>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</si>
  <si>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</si>
  <si>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</si>
  <si>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</si>
  <si>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</si>
  <si>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</si>
  <si>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</si>
  <si>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</si>
  <si>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</si>
  <si>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</si>
  <si>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</si>
  <si>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</si>
  <si>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</si>
  <si>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</si>
  <si>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</si>
  <si>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</si>
  <si>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banco_do_brasil_2026.pdf</t>
  </si>
  <si>
    <t>1° Banco</t>
  </si>
  <si>
    <t>2° Banco</t>
  </si>
  <si>
    <t>3° Banco</t>
  </si>
  <si>
    <t>neon_2026.pdf</t>
  </si>
  <si>
    <t>banco_inter_2026.pdf</t>
  </si>
  <si>
    <t>TOTAL</t>
  </si>
  <si>
    <t>São todos os valores de entrada mês  a mês de receita</t>
  </si>
  <si>
    <t>3. NOTAS BANCÁRIAS OU EXTRATOS DE HOLHERITES</t>
  </si>
  <si>
    <t>DATA</t>
  </si>
  <si>
    <t>CATEGORIA</t>
  </si>
  <si>
    <t>VALOR</t>
  </si>
  <si>
    <t>ENTRADAS</t>
  </si>
  <si>
    <t>HOLHERITE</t>
  </si>
  <si>
    <t>PARTICIPAÇÃO</t>
  </si>
  <si>
    <t>4. distribuição financeira por banco</t>
  </si>
  <si>
    <t>Visualize os valores registrados em cada instituição financeira e sua participação no total consolidado.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</si>
</sst>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5" formatCode="000&quot;.&quot;000&quot;.&quot;000&quot;-&quot;00"/>
    <numFmt numFmtId="167" formatCode="00000\-000"/>
    <numFmt numFmtId="168" formatCode="&quot;(&quot;00&quot;)&quot;\ 0000&quot;-&quot;0000"/>
    <numFmt numFmtId="169" formatCode="&quot;(&quot;00&quot;)&quot;\ 00000&quot;-&quot;0000"/>
    <numFmt numFmtId="170" formatCode="&quot;R$&quot;\ #,##0.00"/>
    <numFmt numFmtId="171" formatCode="mmmm/yyyy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5"/>
      <color theme="3"/>
      <name val="Copperplate Gothic Light"/>
      <family val="2"/>
    </font>
    <font>
      <sz val="11"/>
      <color theme="1"/>
      <name val="Copperplate Gothic Light"/>
      <family val="2"/>
    </font>
    <font>
      <sz val="14"/>
      <color theme="2"/>
      <name val="Copperplate Gothic Light"/>
      <family val="2"/>
    </font>
    <font>
      <u/>
      <sz val="11"/>
      <color theme="1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rgb="FF25252E"/>
      <name val="Copperplate Gothic Light"/>
      <family val="2"/>
    </font>
    <font>
      <b/>
      <sz val="11"/>
      <color theme="1"/>
      <name val="Copperplate Gothic Light"/>
      <family val="2"/>
    </font>
    <font>
      <b/>
      <sz val="11"/>
      <color rgb="FF9C5700"/>
      <name val="Copperplate Gothic Light"/>
      <family val="2"/>
    </font>
    <font>
      <sz val="11"/>
      <color theme="2"/>
      <name val="Copperplate Gothic Light"/>
      <family val="2"/>
    </font>
    <font>
      <sz val="11"/>
      <color theme="2" tint="-9.9978637043366805E-2"/>
      <name val="Copperplate Gothic Light"/>
      <family val="2"/>
    </font>
    <font>
      <sz val="12"/>
      <color theme="2"/>
      <name val="Copperplate Gothic Light"/>
      <family val="2"/>
    </font>
    <font>
      <sz val="11"/>
      <color theme="2" tint="-0.249977111117893"/>
      <name val="Copperplate Gothic Light"/>
      <family val="2"/>
    </font>
    <font>
      <sz val="11"/>
      <color theme="1"/>
      <name val="Copperplate Gothic Bold"/>
      <family val="2"/>
    </font>
    <font>
      <sz val="14"/>
      <color theme="2" tint="-0.249977111117893"/>
      <name val="Copperplate Gothic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3D3D3D"/>
        <bgColor indexed="64"/>
      </patternFill>
    </fill>
    <fill>
      <patternFill patternType="solid">
        <fgColor rgb="FF0B0B0F"/>
        <bgColor indexed="64"/>
      </patternFill>
    </fill>
    <fill>
      <patternFill patternType="solid">
        <fgColor rgb="FFFFEB9C"/>
      </patternFill>
    </fill>
    <fill>
      <patternFill patternType="solid">
        <fgColor rgb="FF25252E"/>
        <bgColor indexed="64"/>
      </patternFill>
    </fill>
    <fill>
      <patternFill patternType="solid">
        <fgColor rgb="FFD4AF3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rgb="FF7F7F7F"/>
      </right>
      <top style="thin">
        <color rgb="FF7F7F7F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rgb="FF7F7F7F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rgb="FF7F7F7F"/>
      </right>
      <top style="thin">
        <color theme="2" tint="-9.9948118533890809E-2"/>
      </top>
      <bottom style="thin">
        <color rgb="FF7F7F7F"/>
      </bottom>
      <diagonal/>
    </border>
    <border>
      <left/>
      <right/>
      <top/>
      <bottom style="thick">
        <color rgb="FF3D3D3D"/>
      </bottom>
      <diagonal/>
    </border>
    <border>
      <left/>
      <right/>
      <top style="thick">
        <color rgb="FF3D3D3D"/>
      </top>
      <bottom/>
      <diagonal/>
    </border>
    <border>
      <left style="thin">
        <color rgb="FF7F7F7F"/>
      </left>
      <right style="thin">
        <color rgb="FF7F7F7F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7F7F7F"/>
      </left>
      <right style="thin">
        <color rgb="FF7F7F7F"/>
      </right>
      <top style="thin">
        <color theme="2" tint="-9.9948118533890809E-2"/>
      </top>
      <bottom style="thin">
        <color rgb="FF7F7F7F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/>
      <bottom style="thin">
        <color theme="2" tint="-9.9948118533890809E-2"/>
      </bottom>
      <diagonal/>
    </border>
    <border>
      <left/>
      <right/>
      <top/>
      <bottom style="thick">
        <color rgb="FFD4AF37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48">
    <xf numFmtId="0" fontId="0" fillId="0" borderId="0" xfId="0"/>
    <xf numFmtId="0" fontId="0" fillId="4" borderId="0" xfId="0" applyFill="1"/>
    <xf numFmtId="0" fontId="3" fillId="0" borderId="9" xfId="1" applyFont="1" applyBorder="1"/>
    <xf numFmtId="0" fontId="1" fillId="0" borderId="9" xfId="1" applyBorder="1"/>
    <xf numFmtId="0" fontId="4" fillId="0" borderId="3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5" fillId="3" borderId="10" xfId="0" applyFont="1" applyFill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3" fillId="0" borderId="9" xfId="1" applyFont="1" applyBorder="1" applyAlignment="1">
      <alignment horizontal="left" vertical="center"/>
    </xf>
    <xf numFmtId="0" fontId="8" fillId="0" borderId="13" xfId="0" applyFont="1" applyBorder="1"/>
    <xf numFmtId="0" fontId="0" fillId="0" borderId="13" xfId="0" applyBorder="1"/>
    <xf numFmtId="0" fontId="9" fillId="0" borderId="0" xfId="0" applyFont="1"/>
    <xf numFmtId="0" fontId="11" fillId="3" borderId="10" xfId="0" applyFont="1" applyFill="1" applyBorder="1" applyAlignment="1">
      <alignment vertical="center"/>
    </xf>
    <xf numFmtId="0" fontId="12" fillId="6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13" fillId="3" borderId="0" xfId="0" applyFont="1" applyFill="1" applyBorder="1" applyAlignment="1">
      <alignment horizontal="left" vertical="center"/>
    </xf>
    <xf numFmtId="170" fontId="10" fillId="7" borderId="0" xfId="4" applyNumberFormat="1" applyFont="1" applyFill="1" applyAlignment="1">
      <alignment horizontal="left"/>
    </xf>
    <xf numFmtId="0" fontId="10" fillId="7" borderId="0" xfId="4" applyFont="1" applyFill="1" applyAlignment="1">
      <alignment horizontal="left"/>
    </xf>
    <xf numFmtId="0" fontId="2" fillId="2" borderId="4" xfId="2" applyBorder="1" applyAlignment="1" applyProtection="1">
      <alignment horizontal="left"/>
      <protection locked="0"/>
    </xf>
    <xf numFmtId="165" fontId="2" fillId="2" borderId="6" xfId="2" applyNumberFormat="1" applyBorder="1" applyAlignment="1" applyProtection="1">
      <alignment horizontal="left"/>
      <protection locked="0"/>
    </xf>
    <xf numFmtId="14" fontId="2" fillId="2" borderId="6" xfId="2" applyNumberFormat="1" applyBorder="1" applyAlignment="1" applyProtection="1">
      <alignment horizontal="left"/>
      <protection locked="0"/>
    </xf>
    <xf numFmtId="0" fontId="2" fillId="2" borderId="6" xfId="2" applyBorder="1" applyAlignment="1" applyProtection="1">
      <alignment horizontal="left"/>
      <protection locked="0"/>
    </xf>
    <xf numFmtId="167" fontId="2" fillId="2" borderId="6" xfId="2" applyNumberFormat="1" applyBorder="1" applyAlignment="1" applyProtection="1">
      <alignment horizontal="left"/>
      <protection locked="0"/>
    </xf>
    <xf numFmtId="168" fontId="2" fillId="2" borderId="6" xfId="2" applyNumberFormat="1" applyBorder="1" applyAlignment="1" applyProtection="1">
      <alignment horizontal="left"/>
      <protection locked="0"/>
    </xf>
    <xf numFmtId="169" fontId="2" fillId="2" borderId="6" xfId="2" applyNumberFormat="1" applyBorder="1" applyAlignment="1" applyProtection="1">
      <alignment horizontal="left"/>
      <protection locked="0"/>
    </xf>
    <xf numFmtId="0" fontId="6" fillId="2" borderId="6" xfId="3" applyFill="1" applyBorder="1" applyAlignment="1" applyProtection="1">
      <alignment horizontal="left"/>
      <protection locked="0"/>
    </xf>
    <xf numFmtId="0" fontId="2" fillId="2" borderId="8" xfId="2" applyBorder="1" applyAlignment="1" applyProtection="1">
      <alignment horizontal="left"/>
      <protection locked="0"/>
    </xf>
    <xf numFmtId="0" fontId="2" fillId="7" borderId="14" xfId="2" applyFill="1" applyBorder="1" applyAlignment="1" applyProtection="1">
      <alignment horizontal="left"/>
      <protection locked="0"/>
    </xf>
    <xf numFmtId="170" fontId="2" fillId="7" borderId="11" xfId="2" applyNumberFormat="1" applyFill="1" applyBorder="1" applyAlignment="1" applyProtection="1">
      <alignment horizontal="left"/>
      <protection locked="0"/>
    </xf>
    <xf numFmtId="14" fontId="2" fillId="7" borderId="12" xfId="2" applyNumberFormat="1" applyFill="1" applyBorder="1" applyAlignment="1" applyProtection="1">
      <alignment horizontal="left"/>
      <protection locked="0"/>
    </xf>
    <xf numFmtId="171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170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Border="1"/>
    <xf numFmtId="0" fontId="14" fillId="6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70" fontId="15" fillId="0" borderId="0" xfId="0" applyNumberFormat="1" applyFont="1" applyBorder="1" applyAlignment="1">
      <alignment horizontal="center" vertical="center"/>
    </xf>
    <xf numFmtId="10" fontId="0" fillId="0" borderId="0" xfId="0" applyNumberFormat="1" applyBorder="1"/>
    <xf numFmtId="0" fontId="4" fillId="0" borderId="15" xfId="0" applyFont="1" applyBorder="1" applyAlignment="1">
      <alignment horizontal="center" vertical="center"/>
    </xf>
    <xf numFmtId="170" fontId="15" fillId="0" borderId="15" xfId="0" applyNumberFormat="1" applyFont="1" applyBorder="1" applyAlignment="1">
      <alignment horizontal="center" vertical="center"/>
    </xf>
    <xf numFmtId="10" fontId="0" fillId="0" borderId="15" xfId="0" applyNumberFormat="1" applyBorder="1"/>
    <xf numFmtId="0" fontId="16" fillId="6" borderId="0" xfId="0" applyFont="1" applyFill="1" applyAlignment="1">
      <alignment horizontal="right"/>
    </xf>
    <xf numFmtId="10" fontId="15" fillId="0" borderId="0" xfId="0" applyNumberFormat="1" applyFont="1"/>
    <xf numFmtId="170" fontId="15" fillId="0" borderId="0" xfId="0" applyNumberFormat="1" applyFont="1" applyAlignment="1">
      <alignment horizontal="center"/>
    </xf>
  </cellXfs>
  <cellStyles count="5">
    <cellStyle name="Entrada" xfId="2" builtinId="20"/>
    <cellStyle name="Hiperlink" xfId="3" builtinId="8"/>
    <cellStyle name="Neutro" xfId="4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Copperplate Gothic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pperplate Gothic Light"/>
        <family val="2"/>
        <scheme val="none"/>
      </font>
      <numFmt numFmtId="170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pperplate Gothic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pperplate Gothic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pperplate Gothic Light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1" xr9:uid="{6FAB7080-2224-4034-B71A-8CEBD89B27AE}"/>
  </tableStyles>
  <colors>
    <mruColors>
      <color rgb="FF25252E"/>
      <color rgb="FFD4AF37"/>
      <color rgb="FF3D3D3D"/>
      <color rgb="FF17171D"/>
      <color rgb="FF0B0B0F"/>
      <color rgb="FFFF785A"/>
      <color rgb="FFFFAA5A"/>
      <color rgb="FF19191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Copperplate Gothic Light" panose="020E0507020206020404" pitchFamily="34" charset="0"/>
                <a:ea typeface="+mn-ea"/>
                <a:cs typeface="+mn-cs"/>
              </a:defRPr>
            </a:pPr>
            <a:r>
              <a:rPr lang="pt-BR">
                <a:latin typeface="Copperplate Gothic Light" panose="020E0507020206020404" pitchFamily="34" charset="0"/>
              </a:rPr>
              <a:t>Distribuição</a:t>
            </a:r>
            <a:r>
              <a:rPr lang="pt-BR" baseline="0">
                <a:latin typeface="Copperplate Gothic Light" panose="020E0507020206020404" pitchFamily="34" charset="0"/>
              </a:rPr>
              <a:t> de Valores por Instituição Financeira</a:t>
            </a:r>
            <a:endParaRPr lang="pt-BR">
              <a:latin typeface="Copperplate Gothic Light" panose="020E05070202060204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Copperplate Gothic Light" panose="020E05070202060204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Copperplate Gothic Light" panose="020E05070202060204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DASHBOARD!$C$11:$C$13</c:f>
              <c:strCache>
                <c:ptCount val="3"/>
                <c:pt idx="0">
                  <c:v>1 - Banco do Brasil</c:v>
                </c:pt>
                <c:pt idx="1">
                  <c:v>735 - Banco Neon</c:v>
                </c:pt>
                <c:pt idx="2">
                  <c:v>77 - Banco Inter</c:v>
                </c:pt>
              </c:strCache>
            </c:strRef>
          </c:cat>
          <c:val>
            <c:numRef>
              <c:f>DASHBOARD!$D$11:$D$13</c:f>
              <c:numCache>
                <c:formatCode>"R$"\ #,##0.00</c:formatCode>
                <c:ptCount val="3"/>
                <c:pt idx="0">
                  <c:v>500000</c:v>
                </c:pt>
                <c:pt idx="1">
                  <c:v>3690000</c:v>
                </c:pt>
                <c:pt idx="2">
                  <c:v>123700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1-4D61-81B5-B2D16C9C77BE}"/>
            </c:ext>
          </c:extLst>
        </c:ser>
        <c:ser>
          <c:idx val="1"/>
          <c:order val="1"/>
          <c:tx>
            <c:v>Participação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Copperplate Gothic Bold" panose="020E07050202060204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DASHBOARD!$C$11:$C$13</c:f>
              <c:strCache>
                <c:ptCount val="3"/>
                <c:pt idx="0">
                  <c:v>1 - Banco do Brasil</c:v>
                </c:pt>
                <c:pt idx="1">
                  <c:v>735 - Banco Neon</c:v>
                </c:pt>
                <c:pt idx="2">
                  <c:v>77 - Banco Inter</c:v>
                </c:pt>
              </c:strCache>
            </c:strRef>
          </c:cat>
          <c:val>
            <c:numRef>
              <c:f>DASHBOARD!$E$11:$E$13</c:f>
              <c:numCache>
                <c:formatCode>0.00%</c:formatCode>
                <c:ptCount val="3"/>
                <c:pt idx="0">
                  <c:v>0.11590977583049354</c:v>
                </c:pt>
                <c:pt idx="1">
                  <c:v>0.85541414562904239</c:v>
                </c:pt>
                <c:pt idx="2">
                  <c:v>2.8676078540464101E-2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1-4D61-81B5-B2D16C9C77B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642746048"/>
        <c:axId val="85298875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DASHBOARD!$E$11:$E$13</c15:sqref>
                        </c15:formulaRef>
                      </c:ext>
                    </c:extLst>
                    <c:strCache>
                      <c:ptCount val="3"/>
                      <c:pt idx="0">
                        <c:v>11,59%</c:v>
                      </c:pt>
                      <c:pt idx="1">
                        <c:v>85,54%</c:v>
                      </c:pt>
                      <c:pt idx="2">
                        <c:v>2,87%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Copperplate Gothic Bold" panose="020E0705020206020404" pitchFamily="34" charset="0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EA1-4D61-81B5-B2D16C9C77BE}"/>
                  </c:ext>
                </c:extLst>
              </c15:ser>
            </c15:filteredBarSeries>
          </c:ext>
        </c:extLst>
      </c:barChart>
      <c:catAx>
        <c:axId val="642746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Copperplate Gothic Light" panose="020E0507020206020404" pitchFamily="34" charset="0"/>
                <a:ea typeface="+mn-ea"/>
                <a:cs typeface="+mn-cs"/>
              </a:defRPr>
            </a:pPr>
            <a:endParaRPr lang="pt-BR"/>
          </a:p>
        </c:txPr>
        <c:crossAx val="852988752"/>
        <c:crosses val="autoZero"/>
        <c:auto val="1"/>
        <c:lblAlgn val="ctr"/>
        <c:lblOffset val="100"/>
        <c:noMultiLvlLbl val="0"/>
      </c:catAx>
      <c:valAx>
        <c:axId val="8529887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6427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157151870221722"/>
          <c:y val="0.11059932400537563"/>
          <c:w val="0.21893923683974581"/>
          <c:h val="6.1424197374609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7" Type="http://schemas.openxmlformats.org/officeDocument/2006/relationships/hyperlink" Target="#DASHBOARD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breno-martins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DASHBOARD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breno-martins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7" Type="http://schemas.openxmlformats.org/officeDocument/2006/relationships/hyperlink" Target="#DASHBOARD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breno-martins" TargetMode="External"/><Relationship Id="rId4" Type="http://schemas.openxmlformats.org/officeDocument/2006/relationships/hyperlink" Target="#NOTA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hyperlink" Target="#INFORME!A1"/><Relationship Id="rId7" Type="http://schemas.openxmlformats.org/officeDocument/2006/relationships/chart" Target="../charts/chart1.xml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breno-martins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670033</xdr:colOff>
      <xdr:row>3</xdr:row>
      <xdr:rowOff>89698</xdr:rowOff>
    </xdr:from>
    <xdr:to>
      <xdr:col>0</xdr:col>
      <xdr:colOff>1421726</xdr:colOff>
      <xdr:row>6</xdr:row>
      <xdr:rowOff>89691</xdr:rowOff>
    </xdr:to>
    <xdr:pic>
      <xdr:nvPicPr>
        <xdr:cNvPr id="5" name="Imagem 4" descr="Visão geral da equipe de LYON LoL e estatísticas dos ...">
          <a:extLst>
            <a:ext uri="{FF2B5EF4-FFF2-40B4-BE49-F238E27FC236}">
              <a16:creationId xmlns:a16="http://schemas.microsoft.com/office/drawing/2014/main" id="{8E8C13F1-80AC-F2AA-0334-D722884E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33" y="661198"/>
          <a:ext cx="751693" cy="78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4926</xdr:rowOff>
    </xdr:from>
    <xdr:to>
      <xdr:col>0</xdr:col>
      <xdr:colOff>2082362</xdr:colOff>
      <xdr:row>3</xdr:row>
      <xdr:rowOff>14451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991D430-C979-E43A-D4B3-B4F88BB8BB8E}"/>
            </a:ext>
          </a:extLst>
        </xdr:cNvPr>
        <xdr:cNvSpPr/>
      </xdr:nvSpPr>
      <xdr:spPr>
        <a:xfrm>
          <a:off x="0" y="4926"/>
          <a:ext cx="2082362" cy="581025"/>
        </a:xfrm>
        <a:prstGeom prst="rect">
          <a:avLst/>
        </a:prstGeom>
        <a:solidFill>
          <a:srgbClr val="17171D"/>
        </a:solidFill>
        <a:ln>
          <a:solidFill>
            <a:srgbClr val="17171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D4AF37">
                      <a:shade val="30000"/>
                      <a:satMod val="115000"/>
                    </a:srgbClr>
                  </a:gs>
                  <a:gs pos="50000">
                    <a:srgbClr val="D4AF37">
                      <a:shade val="67500"/>
                      <a:satMod val="115000"/>
                    </a:srgbClr>
                  </a:gs>
                  <a:gs pos="100000">
                    <a:srgbClr val="D4AF37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atin typeface="Copperplate Gothic Light" panose="020E0507020206020404" pitchFamily="34" charset="0"/>
            </a:rPr>
            <a:t>aurus - ir</a:t>
          </a:r>
        </a:p>
      </xdr:txBody>
    </xdr:sp>
    <xdr:clientData/>
  </xdr:twoCellAnchor>
  <xdr:twoCellAnchor>
    <xdr:from>
      <xdr:col>0</xdr:col>
      <xdr:colOff>120869</xdr:colOff>
      <xdr:row>9</xdr:row>
      <xdr:rowOff>46311</xdr:rowOff>
    </xdr:from>
    <xdr:to>
      <xdr:col>0</xdr:col>
      <xdr:colOff>1959195</xdr:colOff>
      <xdr:row>11</xdr:row>
      <xdr:rowOff>189186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178621-0B09-BD39-977B-EFDFD411B7EF}"/>
            </a:ext>
          </a:extLst>
        </xdr:cNvPr>
        <xdr:cNvSpPr/>
      </xdr:nvSpPr>
      <xdr:spPr>
        <a:xfrm>
          <a:off x="120869" y="1760811"/>
          <a:ext cx="1838326" cy="523875"/>
        </a:xfrm>
        <a:prstGeom prst="roundRect">
          <a:avLst/>
        </a:prstGeom>
        <a:solidFill>
          <a:srgbClr val="25252E"/>
        </a:solidFill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124482</xdr:colOff>
      <xdr:row>12</xdr:row>
      <xdr:rowOff>157655</xdr:rowOff>
    </xdr:from>
    <xdr:to>
      <xdr:col>0</xdr:col>
      <xdr:colOff>1962808</xdr:colOff>
      <xdr:row>15</xdr:row>
      <xdr:rowOff>110030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474942-77BD-7272-2C5A-73CA9E5BC931}"/>
            </a:ext>
          </a:extLst>
        </xdr:cNvPr>
        <xdr:cNvSpPr/>
      </xdr:nvSpPr>
      <xdr:spPr>
        <a:xfrm>
          <a:off x="124482" y="2443655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119227</xdr:colOff>
      <xdr:row>16</xdr:row>
      <xdr:rowOff>47296</xdr:rowOff>
    </xdr:from>
    <xdr:to>
      <xdr:col>0</xdr:col>
      <xdr:colOff>1957553</xdr:colOff>
      <xdr:row>18</xdr:row>
      <xdr:rowOff>190171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9FC859-EF80-2A83-800F-13E5FF6B665A}"/>
            </a:ext>
          </a:extLst>
        </xdr:cNvPr>
        <xdr:cNvSpPr/>
      </xdr:nvSpPr>
      <xdr:spPr>
        <a:xfrm>
          <a:off x="119227" y="3095296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148056</xdr:colOff>
      <xdr:row>22</xdr:row>
      <xdr:rowOff>105610</xdr:rowOff>
    </xdr:from>
    <xdr:to>
      <xdr:col>0</xdr:col>
      <xdr:colOff>2029557</xdr:colOff>
      <xdr:row>25</xdr:row>
      <xdr:rowOff>53058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9215E0C9-E7E6-4A2D-4262-4790513D157E}"/>
            </a:ext>
          </a:extLst>
        </xdr:cNvPr>
        <xdr:cNvSpPr/>
      </xdr:nvSpPr>
      <xdr:spPr>
        <a:xfrm>
          <a:off x="148056" y="4509091"/>
          <a:ext cx="1881501" cy="5189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latin typeface="Copperplate Gothic Light" panose="020E0507020206020404" pitchFamily="34" charset="0"/>
            </a:rPr>
            <a:t>SYSTEM</a:t>
          </a:r>
          <a:r>
            <a:rPr lang="pt-BR" sz="800" baseline="0">
              <a:latin typeface="Copperplate Gothic Light" panose="020E0507020206020404" pitchFamily="34" charset="0"/>
            </a:rPr>
            <a:t> BY GUILHERME MARTINS</a:t>
          </a:r>
          <a:endParaRPr lang="pt-BR" sz="800"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240020</xdr:colOff>
      <xdr:row>22</xdr:row>
      <xdr:rowOff>146032</xdr:rowOff>
    </xdr:from>
    <xdr:to>
      <xdr:col>0</xdr:col>
      <xdr:colOff>1855986</xdr:colOff>
      <xdr:row>22</xdr:row>
      <xdr:rowOff>146033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9A34E390-5C11-173E-A273-DFF201FB5786}"/>
            </a:ext>
          </a:extLst>
        </xdr:cNvPr>
        <xdr:cNvCxnSpPr/>
      </xdr:nvCxnSpPr>
      <xdr:spPr>
        <a:xfrm flipV="1">
          <a:off x="240020" y="4549513"/>
          <a:ext cx="1615966" cy="1"/>
        </a:xfrm>
        <a:prstGeom prst="line">
          <a:avLst/>
        </a:prstGeom>
        <a:ln>
          <a:solidFill>
            <a:srgbClr val="D4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1831731</xdr:colOff>
      <xdr:row>28</xdr:row>
      <xdr:rowOff>126243</xdr:rowOff>
    </xdr:from>
    <xdr:to>
      <xdr:col>0</xdr:col>
      <xdr:colOff>2094489</xdr:colOff>
      <xdr:row>30</xdr:row>
      <xdr:rowOff>7436</xdr:rowOff>
    </xdr:to>
    <xdr:pic>
      <xdr:nvPicPr>
        <xdr:cNvPr id="18" name="iconLinkedin" descr="Social 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8FBA7F-F790-A4A9-FF07-3B9759B4C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731" y="5672724"/>
          <a:ext cx="262758" cy="262193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805961</xdr:colOff>
      <xdr:row>19</xdr:row>
      <xdr:rowOff>183173</xdr:rowOff>
    </xdr:from>
    <xdr:to>
      <xdr:col>4</xdr:col>
      <xdr:colOff>29308</xdr:colOff>
      <xdr:row>21</xdr:row>
      <xdr:rowOff>168519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89FAC4-06A1-B2E4-839F-B2EAFAEDD998}"/>
            </a:ext>
          </a:extLst>
        </xdr:cNvPr>
        <xdr:cNvSpPr/>
      </xdr:nvSpPr>
      <xdr:spPr>
        <a:xfrm>
          <a:off x="7392865" y="4015154"/>
          <a:ext cx="1941635" cy="366346"/>
        </a:xfrm>
        <a:prstGeom prst="rect">
          <a:avLst/>
        </a:prstGeom>
        <a:solidFill>
          <a:srgbClr val="3D3D3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pperplate Gothic Bold" panose="020E0705020206020404" pitchFamily="34" charset="0"/>
            </a:rPr>
            <a:t>PRÓXIMO --&gt;</a:t>
          </a:r>
        </a:p>
      </xdr:txBody>
    </xdr:sp>
    <xdr:clientData/>
  </xdr:twoCellAnchor>
  <xdr:twoCellAnchor>
    <xdr:from>
      <xdr:col>0</xdr:col>
      <xdr:colOff>125088</xdr:colOff>
      <xdr:row>19</xdr:row>
      <xdr:rowOff>119100</xdr:rowOff>
    </xdr:from>
    <xdr:to>
      <xdr:col>0</xdr:col>
      <xdr:colOff>1963414</xdr:colOff>
      <xdr:row>22</xdr:row>
      <xdr:rowOff>71475</xdr:rowOff>
    </xdr:to>
    <xdr:sp macro="" textlink="">
      <xdr:nvSpPr>
        <xdr:cNvPr id="3" name="Retângulo: Cantos Arredondados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44D21D-7DA6-080E-06AE-74C567DC82CE}"/>
            </a:ext>
          </a:extLst>
        </xdr:cNvPr>
        <xdr:cNvSpPr/>
      </xdr:nvSpPr>
      <xdr:spPr>
        <a:xfrm>
          <a:off x="125088" y="3951081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670033</xdr:colOff>
      <xdr:row>3</xdr:row>
      <xdr:rowOff>89698</xdr:rowOff>
    </xdr:from>
    <xdr:to>
      <xdr:col>0</xdr:col>
      <xdr:colOff>1421726</xdr:colOff>
      <xdr:row>6</xdr:row>
      <xdr:rowOff>89691</xdr:rowOff>
    </xdr:to>
    <xdr:pic>
      <xdr:nvPicPr>
        <xdr:cNvPr id="2" name="Imagem 1" descr="Visão geral da equipe de LYON LoL e estatísticas dos ...">
          <a:extLst>
            <a:ext uri="{FF2B5EF4-FFF2-40B4-BE49-F238E27FC236}">
              <a16:creationId xmlns:a16="http://schemas.microsoft.com/office/drawing/2014/main" id="{23B91F88-F4E3-4CC3-A2EE-4F2B25397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33" y="661198"/>
          <a:ext cx="751693" cy="78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4926</xdr:rowOff>
    </xdr:from>
    <xdr:to>
      <xdr:col>0</xdr:col>
      <xdr:colOff>2082362</xdr:colOff>
      <xdr:row>3</xdr:row>
      <xdr:rowOff>14451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0164818-8151-4CC0-B1E1-F81463820841}"/>
            </a:ext>
          </a:extLst>
        </xdr:cNvPr>
        <xdr:cNvSpPr/>
      </xdr:nvSpPr>
      <xdr:spPr>
        <a:xfrm>
          <a:off x="0" y="4926"/>
          <a:ext cx="2082362" cy="581025"/>
        </a:xfrm>
        <a:prstGeom prst="rect">
          <a:avLst/>
        </a:prstGeom>
        <a:solidFill>
          <a:srgbClr val="17171D"/>
        </a:solidFill>
        <a:ln>
          <a:solidFill>
            <a:srgbClr val="17171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D4AF37">
                      <a:shade val="30000"/>
                      <a:satMod val="115000"/>
                    </a:srgbClr>
                  </a:gs>
                  <a:gs pos="50000">
                    <a:srgbClr val="D4AF37">
                      <a:shade val="67500"/>
                      <a:satMod val="115000"/>
                    </a:srgbClr>
                  </a:gs>
                  <a:gs pos="100000">
                    <a:srgbClr val="D4AF37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atin typeface="Copperplate Gothic Light" panose="020E0507020206020404" pitchFamily="34" charset="0"/>
            </a:rPr>
            <a:t>aurus - ir</a:t>
          </a:r>
        </a:p>
      </xdr:txBody>
    </xdr:sp>
    <xdr:clientData/>
  </xdr:twoCellAnchor>
  <xdr:twoCellAnchor>
    <xdr:from>
      <xdr:col>0</xdr:col>
      <xdr:colOff>120869</xdr:colOff>
      <xdr:row>9</xdr:row>
      <xdr:rowOff>46311</xdr:rowOff>
    </xdr:from>
    <xdr:to>
      <xdr:col>0</xdr:col>
      <xdr:colOff>1959195</xdr:colOff>
      <xdr:row>11</xdr:row>
      <xdr:rowOff>189186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4962EC-6EC8-4F38-847E-D2D25CF99CEF}"/>
            </a:ext>
          </a:extLst>
        </xdr:cNvPr>
        <xdr:cNvSpPr/>
      </xdr:nvSpPr>
      <xdr:spPr>
        <a:xfrm>
          <a:off x="120869" y="1760811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124482</xdr:colOff>
      <xdr:row>12</xdr:row>
      <xdr:rowOff>157655</xdr:rowOff>
    </xdr:from>
    <xdr:to>
      <xdr:col>0</xdr:col>
      <xdr:colOff>1962808</xdr:colOff>
      <xdr:row>15</xdr:row>
      <xdr:rowOff>110030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AEFEE5-87FF-43E9-8CA5-3FC3EF9EC317}"/>
            </a:ext>
          </a:extLst>
        </xdr:cNvPr>
        <xdr:cNvSpPr/>
      </xdr:nvSpPr>
      <xdr:spPr>
        <a:xfrm>
          <a:off x="124482" y="2443655"/>
          <a:ext cx="1838326" cy="523875"/>
        </a:xfrm>
        <a:prstGeom prst="roundRect">
          <a:avLst/>
        </a:prstGeom>
        <a:solidFill>
          <a:srgbClr val="25252E"/>
        </a:solidFill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119227</xdr:colOff>
      <xdr:row>16</xdr:row>
      <xdr:rowOff>47296</xdr:rowOff>
    </xdr:from>
    <xdr:to>
      <xdr:col>0</xdr:col>
      <xdr:colOff>1957553</xdr:colOff>
      <xdr:row>18</xdr:row>
      <xdr:rowOff>190171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E50FD-BE3F-4C2F-AF7F-6A22325E045B}"/>
            </a:ext>
          </a:extLst>
        </xdr:cNvPr>
        <xdr:cNvSpPr/>
      </xdr:nvSpPr>
      <xdr:spPr>
        <a:xfrm>
          <a:off x="119227" y="3095296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155384</xdr:colOff>
      <xdr:row>22</xdr:row>
      <xdr:rowOff>186207</xdr:rowOff>
    </xdr:from>
    <xdr:to>
      <xdr:col>0</xdr:col>
      <xdr:colOff>1890347</xdr:colOff>
      <xdr:row>25</xdr:row>
      <xdr:rowOff>133655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1A529A3-9040-42E5-B5EE-DEFE3CE01C9F}"/>
            </a:ext>
          </a:extLst>
        </xdr:cNvPr>
        <xdr:cNvSpPr/>
      </xdr:nvSpPr>
      <xdr:spPr>
        <a:xfrm>
          <a:off x="155384" y="4589688"/>
          <a:ext cx="1734963" cy="5189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latin typeface="Copperplate Gothic Light" panose="020E0507020206020404" pitchFamily="34" charset="0"/>
            </a:rPr>
            <a:t>SYSTEM</a:t>
          </a:r>
          <a:r>
            <a:rPr lang="pt-BR" sz="800" baseline="0">
              <a:latin typeface="Copperplate Gothic Light" panose="020E0507020206020404" pitchFamily="34" charset="0"/>
            </a:rPr>
            <a:t> BY GUILHERME MARTINS</a:t>
          </a:r>
          <a:endParaRPr lang="pt-BR" sz="800"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240020</xdr:colOff>
      <xdr:row>23</xdr:row>
      <xdr:rowOff>28803</xdr:rowOff>
    </xdr:from>
    <xdr:to>
      <xdr:col>0</xdr:col>
      <xdr:colOff>1855986</xdr:colOff>
      <xdr:row>23</xdr:row>
      <xdr:rowOff>28804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EE942FC-6EAB-4319-B1C4-E6B0DA19AA6F}"/>
            </a:ext>
          </a:extLst>
        </xdr:cNvPr>
        <xdr:cNvCxnSpPr/>
      </xdr:nvCxnSpPr>
      <xdr:spPr>
        <a:xfrm flipV="1">
          <a:off x="240020" y="4622784"/>
          <a:ext cx="1615966" cy="1"/>
        </a:xfrm>
        <a:prstGeom prst="line">
          <a:avLst/>
        </a:prstGeom>
        <a:ln>
          <a:solidFill>
            <a:srgbClr val="D4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1846385</xdr:colOff>
      <xdr:row>31</xdr:row>
      <xdr:rowOff>132703</xdr:rowOff>
    </xdr:from>
    <xdr:to>
      <xdr:col>1</xdr:col>
      <xdr:colOff>13643</xdr:colOff>
      <xdr:row>33</xdr:row>
      <xdr:rowOff>13896</xdr:rowOff>
    </xdr:to>
    <xdr:pic>
      <xdr:nvPicPr>
        <xdr:cNvPr id="9" name="Imagem 8" descr="Social 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C79871-8D76-44C4-9CB2-75EABDF27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385" y="6250684"/>
          <a:ext cx="262758" cy="262193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783981</xdr:colOff>
      <xdr:row>23</xdr:row>
      <xdr:rowOff>153865</xdr:rowOff>
    </xdr:from>
    <xdr:to>
      <xdr:col>4</xdr:col>
      <xdr:colOff>7328</xdr:colOff>
      <xdr:row>25</xdr:row>
      <xdr:rowOff>139211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9E4E22-973B-48C2-A2FE-209F6BC67874}"/>
            </a:ext>
          </a:extLst>
        </xdr:cNvPr>
        <xdr:cNvSpPr/>
      </xdr:nvSpPr>
      <xdr:spPr>
        <a:xfrm>
          <a:off x="7370885" y="4747846"/>
          <a:ext cx="1941635" cy="366346"/>
        </a:xfrm>
        <a:prstGeom prst="rect">
          <a:avLst/>
        </a:prstGeom>
        <a:solidFill>
          <a:srgbClr val="3D3D3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pperplate Gothic Bold" panose="020E0705020206020404" pitchFamily="34" charset="0"/>
            </a:rPr>
            <a:t>PRÓXIMO --&gt;</a:t>
          </a:r>
        </a:p>
      </xdr:txBody>
    </xdr:sp>
    <xdr:clientData/>
  </xdr:twoCellAnchor>
  <xdr:twoCellAnchor editAs="absolute">
    <xdr:from>
      <xdr:col>2</xdr:col>
      <xdr:colOff>65942</xdr:colOff>
      <xdr:row>23</xdr:row>
      <xdr:rowOff>161192</xdr:rowOff>
    </xdr:from>
    <xdr:to>
      <xdr:col>2</xdr:col>
      <xdr:colOff>2007577</xdr:colOff>
      <xdr:row>25</xdr:row>
      <xdr:rowOff>146538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24E91D-9370-478E-B3C4-E187A3E55C02}"/>
            </a:ext>
          </a:extLst>
        </xdr:cNvPr>
        <xdr:cNvSpPr/>
      </xdr:nvSpPr>
      <xdr:spPr>
        <a:xfrm>
          <a:off x="2769577" y="4755173"/>
          <a:ext cx="1941635" cy="366346"/>
        </a:xfrm>
        <a:prstGeom prst="rect">
          <a:avLst/>
        </a:prstGeom>
        <a:solidFill>
          <a:srgbClr val="3D3D3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opperplate Gothic Bold" panose="020E0705020206020404" pitchFamily="34" charset="0"/>
            </a:rPr>
            <a:t>&lt;--</a:t>
          </a:r>
          <a:r>
            <a:rPr lang="pt-BR" sz="1400" baseline="0">
              <a:latin typeface="Copperplate Gothic Bold" panose="020E0705020206020404" pitchFamily="34" charset="0"/>
            </a:rPr>
            <a:t> ANTERIOR</a:t>
          </a:r>
        </a:p>
      </xdr:txBody>
    </xdr:sp>
    <xdr:clientData/>
  </xdr:twoCellAnchor>
  <xdr:twoCellAnchor>
    <xdr:from>
      <xdr:col>0</xdr:col>
      <xdr:colOff>117761</xdr:colOff>
      <xdr:row>19</xdr:row>
      <xdr:rowOff>177715</xdr:rowOff>
    </xdr:from>
    <xdr:to>
      <xdr:col>0</xdr:col>
      <xdr:colOff>1956087</xdr:colOff>
      <xdr:row>22</xdr:row>
      <xdr:rowOff>130090</xdr:rowOff>
    </xdr:to>
    <xdr:sp macro="" textlink="">
      <xdr:nvSpPr>
        <xdr:cNvPr id="13" name="Retângulo: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DDE6DA-5A3F-ED70-C09D-DB681AAA3DBB}"/>
            </a:ext>
          </a:extLst>
        </xdr:cNvPr>
        <xdr:cNvSpPr/>
      </xdr:nvSpPr>
      <xdr:spPr>
        <a:xfrm>
          <a:off x="117761" y="4009696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670033</xdr:colOff>
      <xdr:row>3</xdr:row>
      <xdr:rowOff>89698</xdr:rowOff>
    </xdr:from>
    <xdr:to>
      <xdr:col>0</xdr:col>
      <xdr:colOff>1421726</xdr:colOff>
      <xdr:row>7</xdr:row>
      <xdr:rowOff>51036</xdr:rowOff>
    </xdr:to>
    <xdr:pic>
      <xdr:nvPicPr>
        <xdr:cNvPr id="2" name="Imagem 1" descr="Visão geral da equipe de LYON LoL e estatísticas dos ...">
          <a:extLst>
            <a:ext uri="{FF2B5EF4-FFF2-40B4-BE49-F238E27FC236}">
              <a16:creationId xmlns:a16="http://schemas.microsoft.com/office/drawing/2014/main" id="{98942A30-87F8-4C15-9992-EA89D15E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33" y="661198"/>
          <a:ext cx="751693" cy="78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4926</xdr:rowOff>
    </xdr:from>
    <xdr:to>
      <xdr:col>0</xdr:col>
      <xdr:colOff>2082362</xdr:colOff>
      <xdr:row>3</xdr:row>
      <xdr:rowOff>14451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70133E5-83C3-427D-A4B7-6FE9FF90C241}"/>
            </a:ext>
          </a:extLst>
        </xdr:cNvPr>
        <xdr:cNvSpPr/>
      </xdr:nvSpPr>
      <xdr:spPr>
        <a:xfrm>
          <a:off x="0" y="4926"/>
          <a:ext cx="2082362" cy="581025"/>
        </a:xfrm>
        <a:prstGeom prst="rect">
          <a:avLst/>
        </a:prstGeom>
        <a:solidFill>
          <a:srgbClr val="17171D"/>
        </a:solidFill>
        <a:ln>
          <a:solidFill>
            <a:srgbClr val="17171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D4AF37">
                      <a:shade val="30000"/>
                      <a:satMod val="115000"/>
                    </a:srgbClr>
                  </a:gs>
                  <a:gs pos="50000">
                    <a:srgbClr val="D4AF37">
                      <a:shade val="67500"/>
                      <a:satMod val="115000"/>
                    </a:srgbClr>
                  </a:gs>
                  <a:gs pos="100000">
                    <a:srgbClr val="D4AF37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atin typeface="Copperplate Gothic Light" panose="020E0507020206020404" pitchFamily="34" charset="0"/>
            </a:rPr>
            <a:t>aurus - ir</a:t>
          </a:r>
        </a:p>
      </xdr:txBody>
    </xdr:sp>
    <xdr:clientData/>
  </xdr:twoCellAnchor>
  <xdr:twoCellAnchor>
    <xdr:from>
      <xdr:col>0</xdr:col>
      <xdr:colOff>120869</xdr:colOff>
      <xdr:row>9</xdr:row>
      <xdr:rowOff>46311</xdr:rowOff>
    </xdr:from>
    <xdr:to>
      <xdr:col>0</xdr:col>
      <xdr:colOff>1959195</xdr:colOff>
      <xdr:row>11</xdr:row>
      <xdr:rowOff>189186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C60A09-EEB9-4ABE-A9AA-1673D0829C62}"/>
            </a:ext>
          </a:extLst>
        </xdr:cNvPr>
        <xdr:cNvSpPr/>
      </xdr:nvSpPr>
      <xdr:spPr>
        <a:xfrm>
          <a:off x="120869" y="1760811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124482</xdr:colOff>
      <xdr:row>12</xdr:row>
      <xdr:rowOff>157655</xdr:rowOff>
    </xdr:from>
    <xdr:to>
      <xdr:col>0</xdr:col>
      <xdr:colOff>1962808</xdr:colOff>
      <xdr:row>15</xdr:row>
      <xdr:rowOff>110030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073DAB-72BA-4319-95D2-881EC41820D8}"/>
            </a:ext>
          </a:extLst>
        </xdr:cNvPr>
        <xdr:cNvSpPr/>
      </xdr:nvSpPr>
      <xdr:spPr>
        <a:xfrm>
          <a:off x="124482" y="2443655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119227</xdr:colOff>
      <xdr:row>16</xdr:row>
      <xdr:rowOff>47296</xdr:rowOff>
    </xdr:from>
    <xdr:to>
      <xdr:col>0</xdr:col>
      <xdr:colOff>1957553</xdr:colOff>
      <xdr:row>18</xdr:row>
      <xdr:rowOff>190171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6F6128-F4E2-4911-94BC-7C5665BF26DC}"/>
            </a:ext>
          </a:extLst>
        </xdr:cNvPr>
        <xdr:cNvSpPr/>
      </xdr:nvSpPr>
      <xdr:spPr>
        <a:xfrm>
          <a:off x="119227" y="3095296"/>
          <a:ext cx="1838326" cy="523875"/>
        </a:xfrm>
        <a:prstGeom prst="roundRect">
          <a:avLst/>
        </a:prstGeom>
        <a:solidFill>
          <a:srgbClr val="25252E"/>
        </a:solidFill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199345</xdr:colOff>
      <xdr:row>23</xdr:row>
      <xdr:rowOff>1265</xdr:rowOff>
    </xdr:from>
    <xdr:to>
      <xdr:col>0</xdr:col>
      <xdr:colOff>1897673</xdr:colOff>
      <xdr:row>25</xdr:row>
      <xdr:rowOff>139213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29F70A3-EDC5-461E-A62B-FAF9D329138F}"/>
            </a:ext>
          </a:extLst>
        </xdr:cNvPr>
        <xdr:cNvSpPr/>
      </xdr:nvSpPr>
      <xdr:spPr>
        <a:xfrm>
          <a:off x="199345" y="4492669"/>
          <a:ext cx="1698328" cy="5189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latin typeface="Copperplate Gothic Light" panose="020E0507020206020404" pitchFamily="34" charset="0"/>
            </a:rPr>
            <a:t>SYSTEM</a:t>
          </a:r>
          <a:r>
            <a:rPr lang="pt-BR" sz="800" baseline="0">
              <a:latin typeface="Copperplate Gothic Light" panose="020E0507020206020404" pitchFamily="34" charset="0"/>
            </a:rPr>
            <a:t> BY GUILHERME MARTINS</a:t>
          </a:r>
          <a:endParaRPr lang="pt-BR" sz="800"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225366</xdr:colOff>
      <xdr:row>23</xdr:row>
      <xdr:rowOff>49015</xdr:rowOff>
    </xdr:from>
    <xdr:to>
      <xdr:col>0</xdr:col>
      <xdr:colOff>1841332</xdr:colOff>
      <xdr:row>23</xdr:row>
      <xdr:rowOff>49016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A366218-AAE6-4676-9E90-F40F06884927}"/>
            </a:ext>
          </a:extLst>
        </xdr:cNvPr>
        <xdr:cNvCxnSpPr/>
      </xdr:nvCxnSpPr>
      <xdr:spPr>
        <a:xfrm flipV="1">
          <a:off x="225366" y="4540419"/>
          <a:ext cx="1615966" cy="1"/>
        </a:xfrm>
        <a:prstGeom prst="line">
          <a:avLst/>
        </a:prstGeom>
        <a:ln>
          <a:solidFill>
            <a:srgbClr val="D4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1831730</xdr:colOff>
      <xdr:row>29</xdr:row>
      <xdr:rowOff>123607</xdr:rowOff>
    </xdr:from>
    <xdr:to>
      <xdr:col>0</xdr:col>
      <xdr:colOff>2094488</xdr:colOff>
      <xdr:row>31</xdr:row>
      <xdr:rowOff>4800</xdr:rowOff>
    </xdr:to>
    <xdr:pic>
      <xdr:nvPicPr>
        <xdr:cNvPr id="9" name="Imagem 8" descr="Social 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78FFD9-36DE-453A-BD83-CB411217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730" y="5758011"/>
          <a:ext cx="262758" cy="262193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7327</xdr:colOff>
      <xdr:row>5</xdr:row>
      <xdr:rowOff>175846</xdr:rowOff>
    </xdr:from>
    <xdr:to>
      <xdr:col>2</xdr:col>
      <xdr:colOff>1208942</xdr:colOff>
      <xdr:row>6</xdr:row>
      <xdr:rowOff>146538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D5A9D2-286E-4E0C-9860-97B575F5811D}"/>
            </a:ext>
          </a:extLst>
        </xdr:cNvPr>
        <xdr:cNvSpPr/>
      </xdr:nvSpPr>
      <xdr:spPr>
        <a:xfrm>
          <a:off x="2762250" y="1260231"/>
          <a:ext cx="1201615" cy="161192"/>
        </a:xfrm>
        <a:prstGeom prst="rect">
          <a:avLst/>
        </a:prstGeom>
        <a:solidFill>
          <a:srgbClr val="3D3D3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Copperplate Gothic Bold" panose="020E0705020206020404" pitchFamily="34" charset="0"/>
            </a:rPr>
            <a:t>&lt;--</a:t>
          </a:r>
          <a:r>
            <a:rPr lang="pt-BR" sz="1000" baseline="0">
              <a:latin typeface="Copperplate Gothic Bold" panose="020E0705020206020404" pitchFamily="34" charset="0"/>
            </a:rPr>
            <a:t> ANTERIOR</a:t>
          </a:r>
        </a:p>
      </xdr:txBody>
    </xdr:sp>
    <xdr:clientData/>
  </xdr:twoCellAnchor>
  <xdr:twoCellAnchor>
    <xdr:from>
      <xdr:col>0</xdr:col>
      <xdr:colOff>117155</xdr:colOff>
      <xdr:row>19</xdr:row>
      <xdr:rowOff>143001</xdr:rowOff>
    </xdr:from>
    <xdr:to>
      <xdr:col>0</xdr:col>
      <xdr:colOff>1955481</xdr:colOff>
      <xdr:row>22</xdr:row>
      <xdr:rowOff>153991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291073D-7D0B-4773-91B0-D916546C33F0}"/>
            </a:ext>
          </a:extLst>
        </xdr:cNvPr>
        <xdr:cNvSpPr/>
      </xdr:nvSpPr>
      <xdr:spPr>
        <a:xfrm>
          <a:off x="117155" y="3872405"/>
          <a:ext cx="1838326" cy="582490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670033</xdr:colOff>
      <xdr:row>3</xdr:row>
      <xdr:rowOff>89698</xdr:rowOff>
    </xdr:from>
    <xdr:to>
      <xdr:col>0</xdr:col>
      <xdr:colOff>1421726</xdr:colOff>
      <xdr:row>6</xdr:row>
      <xdr:rowOff>89691</xdr:rowOff>
    </xdr:to>
    <xdr:pic>
      <xdr:nvPicPr>
        <xdr:cNvPr id="2" name="Imagem 1" descr="Visão geral da equipe de LYON LoL e estatísticas dos ...">
          <a:extLst>
            <a:ext uri="{FF2B5EF4-FFF2-40B4-BE49-F238E27FC236}">
              <a16:creationId xmlns:a16="http://schemas.microsoft.com/office/drawing/2014/main" id="{AC18ED29-1C87-4DBC-851A-ECA46676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33" y="661198"/>
          <a:ext cx="751693" cy="781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4926</xdr:rowOff>
    </xdr:from>
    <xdr:to>
      <xdr:col>0</xdr:col>
      <xdr:colOff>2082362</xdr:colOff>
      <xdr:row>3</xdr:row>
      <xdr:rowOff>14451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89BAD90-6A01-4FE5-B9BC-E3D119CA2A38}"/>
            </a:ext>
          </a:extLst>
        </xdr:cNvPr>
        <xdr:cNvSpPr/>
      </xdr:nvSpPr>
      <xdr:spPr>
        <a:xfrm>
          <a:off x="0" y="4926"/>
          <a:ext cx="2082362" cy="581025"/>
        </a:xfrm>
        <a:prstGeom prst="rect">
          <a:avLst/>
        </a:prstGeom>
        <a:solidFill>
          <a:srgbClr val="17171D"/>
        </a:solidFill>
        <a:ln>
          <a:solidFill>
            <a:srgbClr val="17171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D4AF37">
                      <a:shade val="30000"/>
                      <a:satMod val="115000"/>
                    </a:srgbClr>
                  </a:gs>
                  <a:gs pos="50000">
                    <a:srgbClr val="D4AF37">
                      <a:shade val="67500"/>
                      <a:satMod val="115000"/>
                    </a:srgbClr>
                  </a:gs>
                  <a:gs pos="100000">
                    <a:srgbClr val="D4AF37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atin typeface="Copperplate Gothic Light" panose="020E0507020206020404" pitchFamily="34" charset="0"/>
            </a:rPr>
            <a:t>aurus - ir</a:t>
          </a:r>
        </a:p>
      </xdr:txBody>
    </xdr:sp>
    <xdr:clientData/>
  </xdr:twoCellAnchor>
  <xdr:twoCellAnchor>
    <xdr:from>
      <xdr:col>0</xdr:col>
      <xdr:colOff>120869</xdr:colOff>
      <xdr:row>9</xdr:row>
      <xdr:rowOff>46311</xdr:rowOff>
    </xdr:from>
    <xdr:to>
      <xdr:col>0</xdr:col>
      <xdr:colOff>1959195</xdr:colOff>
      <xdr:row>11</xdr:row>
      <xdr:rowOff>189186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D4B54E-E6F5-4AF8-8240-72AC368AE57D}"/>
            </a:ext>
          </a:extLst>
        </xdr:cNvPr>
        <xdr:cNvSpPr/>
      </xdr:nvSpPr>
      <xdr:spPr>
        <a:xfrm>
          <a:off x="120869" y="1970361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124482</xdr:colOff>
      <xdr:row>12</xdr:row>
      <xdr:rowOff>157655</xdr:rowOff>
    </xdr:from>
    <xdr:to>
      <xdr:col>0</xdr:col>
      <xdr:colOff>1962808</xdr:colOff>
      <xdr:row>15</xdr:row>
      <xdr:rowOff>110030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2A67D8-4354-4568-A98D-75497049F874}"/>
            </a:ext>
          </a:extLst>
        </xdr:cNvPr>
        <xdr:cNvSpPr/>
      </xdr:nvSpPr>
      <xdr:spPr>
        <a:xfrm>
          <a:off x="124482" y="2653205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119227</xdr:colOff>
      <xdr:row>16</xdr:row>
      <xdr:rowOff>47296</xdr:rowOff>
    </xdr:from>
    <xdr:to>
      <xdr:col>0</xdr:col>
      <xdr:colOff>1957553</xdr:colOff>
      <xdr:row>18</xdr:row>
      <xdr:rowOff>190171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605234-0C49-4682-953C-2A7051A668F8}"/>
            </a:ext>
          </a:extLst>
        </xdr:cNvPr>
        <xdr:cNvSpPr/>
      </xdr:nvSpPr>
      <xdr:spPr>
        <a:xfrm>
          <a:off x="119227" y="3304846"/>
          <a:ext cx="1838326" cy="523875"/>
        </a:xfrm>
        <a:prstGeom prst="roundRect">
          <a:avLst/>
        </a:prstGeom>
        <a:noFill/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132447</xdr:colOff>
      <xdr:row>23</xdr:row>
      <xdr:rowOff>16413</xdr:rowOff>
    </xdr:from>
    <xdr:to>
      <xdr:col>0</xdr:col>
      <xdr:colOff>1996109</xdr:colOff>
      <xdr:row>26</xdr:row>
      <xdr:rowOff>66260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6880E21-716F-4EBC-93D8-F8D6E4F277DF}"/>
            </a:ext>
          </a:extLst>
        </xdr:cNvPr>
        <xdr:cNvSpPr/>
      </xdr:nvSpPr>
      <xdr:spPr>
        <a:xfrm>
          <a:off x="132447" y="4662956"/>
          <a:ext cx="1863662" cy="6213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latin typeface="Copperplate Gothic Light" panose="020E0507020206020404" pitchFamily="34" charset="0"/>
            </a:rPr>
            <a:t>SYSTEM</a:t>
          </a:r>
          <a:r>
            <a:rPr lang="pt-BR" sz="800" baseline="0">
              <a:latin typeface="Copperplate Gothic Light" panose="020E0507020206020404" pitchFamily="34" charset="0"/>
            </a:rPr>
            <a:t> BY GUILHERME MARTINS</a:t>
          </a:r>
          <a:endParaRPr lang="pt-BR" sz="800"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1846386</xdr:colOff>
      <xdr:row>41</xdr:row>
      <xdr:rowOff>123784</xdr:rowOff>
    </xdr:from>
    <xdr:to>
      <xdr:col>1</xdr:col>
      <xdr:colOff>13644</xdr:colOff>
      <xdr:row>43</xdr:row>
      <xdr:rowOff>4977</xdr:rowOff>
    </xdr:to>
    <xdr:pic>
      <xdr:nvPicPr>
        <xdr:cNvPr id="9" name="Imagem 8" descr="Social 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B5E516-F37E-4F56-9CC5-D3019334F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386" y="8199327"/>
          <a:ext cx="262758" cy="262193"/>
        </a:xfrm>
        <a:prstGeom prst="rect">
          <a:avLst/>
        </a:prstGeom>
        <a:noFill/>
      </xdr:spPr>
    </xdr:pic>
    <xdr:clientData/>
  </xdr:twoCellAnchor>
  <xdr:twoCellAnchor>
    <xdr:from>
      <xdr:col>2</xdr:col>
      <xdr:colOff>32970</xdr:colOff>
      <xdr:row>15</xdr:row>
      <xdr:rowOff>27842</xdr:rowOff>
    </xdr:from>
    <xdr:to>
      <xdr:col>4</xdr:col>
      <xdr:colOff>703385</xdr:colOff>
      <xdr:row>33</xdr:row>
      <xdr:rowOff>87923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AA0CFEA-46BA-144E-1B5A-6D17E5CE3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95174</xdr:colOff>
      <xdr:row>19</xdr:row>
      <xdr:rowOff>176705</xdr:rowOff>
    </xdr:from>
    <xdr:to>
      <xdr:col>0</xdr:col>
      <xdr:colOff>1933500</xdr:colOff>
      <xdr:row>22</xdr:row>
      <xdr:rowOff>187695</xdr:rowOff>
    </xdr:to>
    <xdr:sp macro="" textlink="">
      <xdr:nvSpPr>
        <xdr:cNvPr id="13" name="Retângulo: Cantos Arredondado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8DA6AAB-1B68-4D8F-AD54-75149DB675EE}"/>
            </a:ext>
          </a:extLst>
        </xdr:cNvPr>
        <xdr:cNvSpPr/>
      </xdr:nvSpPr>
      <xdr:spPr>
        <a:xfrm>
          <a:off x="95174" y="4067301"/>
          <a:ext cx="1838326" cy="582490"/>
        </a:xfrm>
        <a:prstGeom prst="roundRect">
          <a:avLst/>
        </a:prstGeom>
        <a:solidFill>
          <a:srgbClr val="25252E"/>
        </a:solidFill>
        <a:ln>
          <a:solidFill>
            <a:srgbClr val="25252E"/>
          </a:solidFill>
        </a:ln>
        <a:effectLst>
          <a:glow rad="101600">
            <a:srgbClr val="25252E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noFill/>
              </a:ln>
              <a:solidFill>
                <a:srgbClr val="D4AF37"/>
              </a:solidFill>
              <a:latin typeface="Copperplate Gothic Light" panose="020E0507020206020404" pitchFamily="34" charset="0"/>
            </a:rPr>
            <a:t>dashboard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1615966</xdr:colOff>
      <xdr:row>0</xdr:row>
      <xdr:rowOff>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6DCEC567-334C-4EE7-98AA-CD213A2B1D97}"/>
            </a:ext>
          </a:extLst>
        </xdr:cNvPr>
        <xdr:cNvCxnSpPr/>
      </xdr:nvCxnSpPr>
      <xdr:spPr>
        <a:xfrm flipV="1">
          <a:off x="0" y="0"/>
          <a:ext cx="1615966" cy="1"/>
        </a:xfrm>
        <a:prstGeom prst="line">
          <a:avLst/>
        </a:prstGeom>
        <a:ln>
          <a:solidFill>
            <a:srgbClr val="D4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223631</xdr:colOff>
      <xdr:row>23</xdr:row>
      <xdr:rowOff>124239</xdr:rowOff>
    </xdr:from>
    <xdr:to>
      <xdr:col>0</xdr:col>
      <xdr:colOff>1839597</xdr:colOff>
      <xdr:row>23</xdr:row>
      <xdr:rowOff>124240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B6C4E888-AA3B-4CD4-A53E-0AEC4FBC5E23}"/>
            </a:ext>
          </a:extLst>
        </xdr:cNvPr>
        <xdr:cNvCxnSpPr/>
      </xdr:nvCxnSpPr>
      <xdr:spPr>
        <a:xfrm flipV="1">
          <a:off x="223631" y="4770782"/>
          <a:ext cx="1615966" cy="1"/>
        </a:xfrm>
        <a:prstGeom prst="line">
          <a:avLst/>
        </a:prstGeom>
        <a:ln>
          <a:solidFill>
            <a:srgbClr val="D4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A4504-9065-4B7B-A883-1F6D0B3D4F39}" name="Tabela1" displayName="Tabela1" ref="C9:E46" totalsRowShown="0" headerRowDxfId="4" dataDxfId="0">
  <autoFilter ref="C9:E46" xr:uid="{B0CA4504-9065-4B7B-A883-1F6D0B3D4F39}"/>
  <tableColumns count="3">
    <tableColumn id="1" xr3:uid="{27CBA004-6B40-4123-AED2-D4FED28CFCF6}" name="DATA" dataDxfId="3"/>
    <tableColumn id="2" xr3:uid="{3DE8E5D3-1E3E-4D49-A3B6-12641AA58F47}" name="CATEGORIA" dataDxfId="2"/>
    <tableColumn id="3" xr3:uid="{152D1725-E975-4F5F-BF16-1F2EF7578612}" name="VAL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4">
      <a:dk1>
        <a:srgbClr val="17171D"/>
      </a:dk1>
      <a:lt1>
        <a:sysClr val="window" lastClr="FFFFFF"/>
      </a:lt1>
      <a:dk2>
        <a:srgbClr val="17171D"/>
      </a:dk2>
      <a:lt2>
        <a:srgbClr val="E8E8E8"/>
      </a:lt2>
      <a:accent1>
        <a:srgbClr val="D4AF37"/>
      </a:accent1>
      <a:accent2>
        <a:srgbClr val="EDDEAF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uilhermelolreidela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B2E6-CBF7-4168-B6A4-72C4D37BE58B}">
  <sheetPr codeName="Planilha1"/>
  <dimension ref="A1:E30"/>
  <sheetViews>
    <sheetView showRowColHeaders="0" zoomScale="130" zoomScaleNormal="130" workbookViewId="0"/>
  </sheetViews>
  <sheetFormatPr defaultRowHeight="15" x14ac:dyDescent="0.25"/>
  <cols>
    <col min="1" max="1" width="31.42578125" customWidth="1"/>
    <col min="3" max="3" width="58.28515625" bestFit="1" customWidth="1"/>
    <col min="4" max="4" width="40.7109375" customWidth="1"/>
  </cols>
  <sheetData>
    <row r="1" spans="1:5" x14ac:dyDescent="0.25">
      <c r="A1" s="1"/>
    </row>
    <row r="2" spans="1:5" x14ac:dyDescent="0.25">
      <c r="A2" s="1"/>
    </row>
    <row r="3" spans="1:5" x14ac:dyDescent="0.25">
      <c r="A3" s="1"/>
    </row>
    <row r="4" spans="1:5" ht="20.25" thickBot="1" x14ac:dyDescent="0.35">
      <c r="A4" s="1"/>
      <c r="C4" s="2" t="s">
        <v>14</v>
      </c>
      <c r="D4" s="3"/>
      <c r="E4" s="3"/>
    </row>
    <row r="5" spans="1:5" ht="26.25" customHeight="1" thickTop="1" x14ac:dyDescent="0.25">
      <c r="A5" s="1"/>
      <c r="C5" s="7" t="s">
        <v>15</v>
      </c>
      <c r="D5" s="7"/>
      <c r="E5" s="7"/>
    </row>
    <row r="6" spans="1:5" x14ac:dyDescent="0.25">
      <c r="A6" s="1"/>
      <c r="C6" s="4" t="s">
        <v>0</v>
      </c>
      <c r="D6" s="21" t="s">
        <v>18</v>
      </c>
    </row>
    <row r="7" spans="1:5" x14ac:dyDescent="0.25">
      <c r="A7" s="1"/>
      <c r="C7" s="5" t="s">
        <v>1</v>
      </c>
      <c r="D7" s="22">
        <v>21991301301</v>
      </c>
    </row>
    <row r="8" spans="1:5" x14ac:dyDescent="0.25">
      <c r="A8" s="1"/>
      <c r="C8" s="5" t="s">
        <v>2</v>
      </c>
      <c r="D8" s="23">
        <v>36830</v>
      </c>
    </row>
    <row r="9" spans="1:5" x14ac:dyDescent="0.25">
      <c r="A9" s="1"/>
      <c r="C9" s="5" t="s">
        <v>3</v>
      </c>
      <c r="D9" s="24">
        <v>21192932940</v>
      </c>
    </row>
    <row r="10" spans="1:5" x14ac:dyDescent="0.25">
      <c r="A10" s="1"/>
      <c r="C10" s="5" t="s">
        <v>4</v>
      </c>
      <c r="D10" s="24" t="s">
        <v>22</v>
      </c>
    </row>
    <row r="11" spans="1:5" x14ac:dyDescent="0.25">
      <c r="A11" s="1"/>
      <c r="C11" s="5" t="s">
        <v>5</v>
      </c>
      <c r="D11" s="24" t="s">
        <v>21</v>
      </c>
    </row>
    <row r="12" spans="1:5" x14ac:dyDescent="0.25">
      <c r="A12" s="1"/>
      <c r="C12" s="5" t="s">
        <v>6</v>
      </c>
      <c r="D12" s="24" t="s">
        <v>20</v>
      </c>
    </row>
    <row r="13" spans="1:5" x14ac:dyDescent="0.25">
      <c r="A13" s="1"/>
      <c r="C13" s="5" t="s">
        <v>7</v>
      </c>
      <c r="D13" s="25" t="s">
        <v>23</v>
      </c>
    </row>
    <row r="14" spans="1:5" x14ac:dyDescent="0.25">
      <c r="A14" s="1"/>
      <c r="C14" s="5" t="s">
        <v>8</v>
      </c>
      <c r="D14" s="26">
        <v>110294920</v>
      </c>
    </row>
    <row r="15" spans="1:5" x14ac:dyDescent="0.25">
      <c r="A15" s="1"/>
      <c r="C15" s="5" t="s">
        <v>9</v>
      </c>
      <c r="D15" s="27">
        <v>11989748481</v>
      </c>
    </row>
    <row r="16" spans="1:5" x14ac:dyDescent="0.25">
      <c r="A16" s="1"/>
      <c r="C16" s="5" t="s">
        <v>10</v>
      </c>
      <c r="D16" s="28" t="s">
        <v>19</v>
      </c>
    </row>
    <row r="17" spans="1:4" x14ac:dyDescent="0.25">
      <c r="A17" s="1"/>
      <c r="C17" s="5" t="s">
        <v>11</v>
      </c>
      <c r="D17" s="24" t="s">
        <v>16</v>
      </c>
    </row>
    <row r="18" spans="1:4" x14ac:dyDescent="0.25">
      <c r="A18" s="1"/>
      <c r="C18" s="5" t="s">
        <v>12</v>
      </c>
      <c r="D18" s="24" t="s">
        <v>17</v>
      </c>
    </row>
    <row r="19" spans="1:4" x14ac:dyDescent="0.25">
      <c r="A19" s="1"/>
      <c r="C19" s="6" t="s">
        <v>13</v>
      </c>
      <c r="D19" s="29" t="s">
        <v>16</v>
      </c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</sheetData>
  <sheetProtection selectLockedCells="1"/>
  <mergeCells count="1">
    <mergeCell ref="C5:E5"/>
  </mergeCells>
  <dataValidations count="1">
    <dataValidation type="list" allowBlank="1" showInputMessage="1" showErrorMessage="1" sqref="D17:D19" xr:uid="{6CA1905F-B3D0-46BD-93C5-D9E8AD56C972}">
      <formula1>"SIM,NÃO"</formula1>
    </dataValidation>
  </dataValidations>
  <hyperlinks>
    <hyperlink ref="D16" r:id="rId1" xr:uid="{330BCF44-1BA7-442D-84BB-16688008B61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F873-2900-4726-AEFD-3BD447301150}">
  <sheetPr codeName="Planilha2"/>
  <dimension ref="A1:E33"/>
  <sheetViews>
    <sheetView showGridLines="0" showRowColHeaders="0" zoomScale="130" zoomScaleNormal="130" workbookViewId="0"/>
  </sheetViews>
  <sheetFormatPr defaultRowHeight="15" x14ac:dyDescent="0.25"/>
  <cols>
    <col min="1" max="1" width="31.42578125" customWidth="1"/>
    <col min="3" max="3" width="58.28515625" customWidth="1"/>
    <col min="4" max="4" width="40.7109375" customWidth="1"/>
  </cols>
  <sheetData>
    <row r="1" spans="1:5" x14ac:dyDescent="0.25">
      <c r="A1" s="1"/>
    </row>
    <row r="2" spans="1:5" x14ac:dyDescent="0.25">
      <c r="A2" s="1"/>
    </row>
    <row r="3" spans="1:5" x14ac:dyDescent="0.25">
      <c r="A3" s="1"/>
    </row>
    <row r="4" spans="1:5" ht="20.25" thickBot="1" x14ac:dyDescent="0.3">
      <c r="A4" s="1"/>
      <c r="C4" s="11" t="s">
        <v>25</v>
      </c>
      <c r="D4" s="8"/>
      <c r="E4" s="8"/>
    </row>
    <row r="5" spans="1:5" ht="26.25" customHeight="1" thickTop="1" x14ac:dyDescent="0.25">
      <c r="A5" s="1"/>
      <c r="C5" s="10" t="s">
        <v>24</v>
      </c>
      <c r="D5" s="9"/>
      <c r="E5" s="9"/>
    </row>
    <row r="6" spans="1:5" x14ac:dyDescent="0.25">
      <c r="A6" s="1"/>
    </row>
    <row r="7" spans="1:5" x14ac:dyDescent="0.25">
      <c r="A7" s="1"/>
      <c r="C7" s="14" t="s">
        <v>85</v>
      </c>
    </row>
    <row r="8" spans="1:5" x14ac:dyDescent="0.25">
      <c r="A8" s="1"/>
      <c r="C8" s="19">
        <f>SUM(D12,D17,D22)</f>
        <v>4313700</v>
      </c>
      <c r="D8" s="20"/>
    </row>
    <row r="9" spans="1:5" x14ac:dyDescent="0.25">
      <c r="A9" s="1"/>
    </row>
    <row r="10" spans="1:5" x14ac:dyDescent="0.25">
      <c r="A10" s="1"/>
      <c r="C10" s="12" t="s">
        <v>80</v>
      </c>
      <c r="D10" s="13"/>
    </row>
    <row r="11" spans="1:5" x14ac:dyDescent="0.25">
      <c r="A11" s="1"/>
      <c r="C11" s="4" t="s">
        <v>26</v>
      </c>
      <c r="D11" s="30" t="s">
        <v>29</v>
      </c>
    </row>
    <row r="12" spans="1:5" x14ac:dyDescent="0.25">
      <c r="A12" s="1"/>
      <c r="C12" s="5" t="s">
        <v>27</v>
      </c>
      <c r="D12" s="31">
        <v>500000</v>
      </c>
    </row>
    <row r="13" spans="1:5" x14ac:dyDescent="0.25">
      <c r="A13" s="1"/>
      <c r="C13" s="5" t="s">
        <v>28</v>
      </c>
      <c r="D13" s="32" t="s">
        <v>79</v>
      </c>
    </row>
    <row r="14" spans="1:5" x14ac:dyDescent="0.25">
      <c r="A14" s="1"/>
    </row>
    <row r="15" spans="1:5" x14ac:dyDescent="0.25">
      <c r="A15" s="1"/>
      <c r="C15" s="12" t="s">
        <v>81</v>
      </c>
      <c r="D15" s="13"/>
    </row>
    <row r="16" spans="1:5" x14ac:dyDescent="0.25">
      <c r="A16" s="1"/>
      <c r="C16" s="4" t="s">
        <v>26</v>
      </c>
      <c r="D16" s="30" t="s">
        <v>71</v>
      </c>
    </row>
    <row r="17" spans="1:4" x14ac:dyDescent="0.25">
      <c r="A17" s="1"/>
      <c r="C17" s="5" t="s">
        <v>27</v>
      </c>
      <c r="D17" s="31">
        <v>3690000</v>
      </c>
    </row>
    <row r="18" spans="1:4" x14ac:dyDescent="0.25">
      <c r="A18" s="1"/>
      <c r="C18" s="5" t="s">
        <v>28</v>
      </c>
      <c r="D18" s="32" t="s">
        <v>83</v>
      </c>
    </row>
    <row r="19" spans="1:4" x14ac:dyDescent="0.25">
      <c r="A19" s="1"/>
    </row>
    <row r="20" spans="1:4" x14ac:dyDescent="0.25">
      <c r="A20" s="1"/>
      <c r="C20" s="12" t="s">
        <v>82</v>
      </c>
      <c r="D20" s="13"/>
    </row>
    <row r="21" spans="1:4" x14ac:dyDescent="0.25">
      <c r="A21" s="1"/>
      <c r="C21" s="4" t="s">
        <v>26</v>
      </c>
      <c r="D21" s="30" t="s">
        <v>76</v>
      </c>
    </row>
    <row r="22" spans="1:4" x14ac:dyDescent="0.25">
      <c r="A22" s="1"/>
      <c r="C22" s="5" t="s">
        <v>27</v>
      </c>
      <c r="D22" s="31">
        <v>123700</v>
      </c>
    </row>
    <row r="23" spans="1:4" x14ac:dyDescent="0.25">
      <c r="A23" s="1"/>
      <c r="C23" s="5" t="s">
        <v>28</v>
      </c>
      <c r="D23" s="32" t="s">
        <v>84</v>
      </c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</sheetData>
  <sheetProtection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dos bancos presentes na seleção!" promptTitle="Informe um banco" prompt="Informe um banco vinculado ao seu CPF" xr:uid="{0AA90D9A-7F19-4B47-8B96-7F8B6995799E}">
          <x14:formula1>
            <xm:f>BANCOS!$A$1:$A$50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FEF0-960C-419B-8EE5-B7C502694217}">
  <sheetPr codeName="Planilha3"/>
  <dimension ref="A1:I46"/>
  <sheetViews>
    <sheetView showGridLines="0" showRowColHeaders="0" zoomScale="130" zoomScaleNormal="130" workbookViewId="0"/>
  </sheetViews>
  <sheetFormatPr defaultRowHeight="15" x14ac:dyDescent="0.25"/>
  <cols>
    <col min="1" max="1" width="31.42578125" customWidth="1"/>
    <col min="2" max="2" width="9.85546875" customWidth="1"/>
    <col min="3" max="3" width="21.7109375" customWidth="1"/>
    <col min="4" max="4" width="18.7109375" customWidth="1"/>
    <col min="5" max="5" width="15.140625" customWidth="1"/>
  </cols>
  <sheetData>
    <row r="1" spans="1:9" x14ac:dyDescent="0.25">
      <c r="A1" s="1"/>
    </row>
    <row r="2" spans="1:9" x14ac:dyDescent="0.25">
      <c r="A2" s="1"/>
    </row>
    <row r="3" spans="1:9" ht="20.25" thickBot="1" x14ac:dyDescent="0.3">
      <c r="A3" s="1"/>
      <c r="C3" s="11" t="s">
        <v>87</v>
      </c>
      <c r="D3" s="8"/>
      <c r="E3" s="8"/>
    </row>
    <row r="4" spans="1:9" ht="20.25" customHeight="1" thickTop="1" x14ac:dyDescent="0.25">
      <c r="A4" s="1"/>
      <c r="C4" s="18" t="s">
        <v>86</v>
      </c>
      <c r="D4" s="18"/>
      <c r="E4" s="18"/>
      <c r="F4" s="18"/>
      <c r="G4" s="18"/>
      <c r="H4" s="18"/>
      <c r="I4" s="18"/>
    </row>
    <row r="5" spans="1:9" x14ac:dyDescent="0.25">
      <c r="A5" s="1"/>
    </row>
    <row r="6" spans="1:9" x14ac:dyDescent="0.25">
      <c r="A6" s="1"/>
    </row>
    <row r="7" spans="1:9" x14ac:dyDescent="0.25">
      <c r="A7" s="1"/>
    </row>
    <row r="8" spans="1:9" ht="13.5" customHeight="1" x14ac:dyDescent="0.25">
      <c r="A8" s="1"/>
      <c r="C8" s="16" t="s">
        <v>91</v>
      </c>
      <c r="D8" s="16"/>
      <c r="E8" s="16"/>
    </row>
    <row r="9" spans="1:9" x14ac:dyDescent="0.25">
      <c r="A9" s="1"/>
      <c r="C9" s="17" t="s">
        <v>88</v>
      </c>
      <c r="D9" s="17" t="s">
        <v>89</v>
      </c>
      <c r="E9" s="17" t="s">
        <v>90</v>
      </c>
    </row>
    <row r="10" spans="1:9" x14ac:dyDescent="0.25">
      <c r="A10" s="1"/>
      <c r="C10" s="33">
        <v>46310</v>
      </c>
      <c r="D10" s="34" t="s">
        <v>92</v>
      </c>
      <c r="E10" s="35">
        <v>3000</v>
      </c>
    </row>
    <row r="11" spans="1:9" x14ac:dyDescent="0.25">
      <c r="A11" s="1"/>
      <c r="C11" s="36"/>
      <c r="D11" s="34" t="s">
        <v>92</v>
      </c>
      <c r="E11" s="35"/>
    </row>
    <row r="12" spans="1:9" x14ac:dyDescent="0.25">
      <c r="A12" s="1"/>
      <c r="C12" s="36"/>
      <c r="D12" s="34" t="s">
        <v>92</v>
      </c>
      <c r="E12" s="35"/>
    </row>
    <row r="13" spans="1:9" x14ac:dyDescent="0.25">
      <c r="A13" s="1"/>
      <c r="C13" s="36"/>
      <c r="D13" s="34" t="s">
        <v>92</v>
      </c>
      <c r="E13" s="35"/>
    </row>
    <row r="14" spans="1:9" x14ac:dyDescent="0.25">
      <c r="A14" s="1"/>
      <c r="C14" s="36"/>
      <c r="D14" s="34" t="s">
        <v>92</v>
      </c>
      <c r="E14" s="35"/>
    </row>
    <row r="15" spans="1:9" x14ac:dyDescent="0.25">
      <c r="A15" s="1"/>
      <c r="C15" s="36"/>
      <c r="D15" s="34" t="s">
        <v>92</v>
      </c>
      <c r="E15" s="35"/>
    </row>
    <row r="16" spans="1:9" x14ac:dyDescent="0.25">
      <c r="A16" s="1"/>
      <c r="C16" s="36"/>
      <c r="D16" s="34" t="s">
        <v>92</v>
      </c>
      <c r="E16" s="35"/>
    </row>
    <row r="17" spans="1:5" x14ac:dyDescent="0.25">
      <c r="A17" s="1"/>
      <c r="C17" s="36"/>
      <c r="D17" s="34" t="s">
        <v>92</v>
      </c>
      <c r="E17" s="35"/>
    </row>
    <row r="18" spans="1:5" x14ac:dyDescent="0.25">
      <c r="A18" s="1"/>
      <c r="C18" s="36"/>
      <c r="D18" s="34" t="s">
        <v>92</v>
      </c>
      <c r="E18" s="35"/>
    </row>
    <row r="19" spans="1:5" x14ac:dyDescent="0.25">
      <c r="A19" s="1"/>
      <c r="C19" s="36"/>
      <c r="D19" s="34" t="s">
        <v>92</v>
      </c>
      <c r="E19" s="35"/>
    </row>
    <row r="20" spans="1:5" x14ac:dyDescent="0.25">
      <c r="A20" s="1"/>
      <c r="C20" s="36"/>
      <c r="D20" s="34" t="s">
        <v>92</v>
      </c>
      <c r="E20" s="35"/>
    </row>
    <row r="21" spans="1:5" x14ac:dyDescent="0.25">
      <c r="A21" s="1"/>
      <c r="C21" s="36"/>
      <c r="D21" s="34" t="s">
        <v>92</v>
      </c>
      <c r="E21" s="35"/>
    </row>
    <row r="22" spans="1:5" x14ac:dyDescent="0.25">
      <c r="A22" s="1"/>
      <c r="C22" s="36"/>
      <c r="D22" s="34" t="s">
        <v>92</v>
      </c>
      <c r="E22" s="35"/>
    </row>
    <row r="23" spans="1:5" x14ac:dyDescent="0.25">
      <c r="A23" s="1"/>
      <c r="C23" s="36"/>
      <c r="D23" s="34" t="s">
        <v>92</v>
      </c>
      <c r="E23" s="35"/>
    </row>
    <row r="24" spans="1:5" x14ac:dyDescent="0.25">
      <c r="A24" s="1"/>
      <c r="C24" s="36"/>
      <c r="D24" s="34" t="s">
        <v>92</v>
      </c>
      <c r="E24" s="35"/>
    </row>
    <row r="25" spans="1:5" x14ac:dyDescent="0.25">
      <c r="A25" s="1"/>
      <c r="C25" s="36"/>
      <c r="D25" s="34" t="s">
        <v>92</v>
      </c>
      <c r="E25" s="35"/>
    </row>
    <row r="26" spans="1:5" x14ac:dyDescent="0.25">
      <c r="A26" s="1"/>
      <c r="C26" s="36"/>
      <c r="D26" s="34" t="s">
        <v>92</v>
      </c>
      <c r="E26" s="35"/>
    </row>
    <row r="27" spans="1:5" x14ac:dyDescent="0.25">
      <c r="A27" s="1"/>
      <c r="C27" s="36"/>
      <c r="D27" s="34" t="s">
        <v>92</v>
      </c>
      <c r="E27" s="35"/>
    </row>
    <row r="28" spans="1:5" x14ac:dyDescent="0.25">
      <c r="A28" s="1"/>
      <c r="C28" s="36"/>
      <c r="D28" s="34" t="s">
        <v>92</v>
      </c>
      <c r="E28" s="35"/>
    </row>
    <row r="29" spans="1:5" x14ac:dyDescent="0.25">
      <c r="A29" s="1"/>
      <c r="C29" s="36"/>
      <c r="D29" s="34" t="s">
        <v>92</v>
      </c>
      <c r="E29" s="35"/>
    </row>
    <row r="30" spans="1:5" x14ac:dyDescent="0.25">
      <c r="A30" s="1"/>
      <c r="C30" s="36"/>
      <c r="D30" s="34" t="s">
        <v>92</v>
      </c>
      <c r="E30" s="35"/>
    </row>
    <row r="31" spans="1:5" x14ac:dyDescent="0.25">
      <c r="A31" s="1"/>
      <c r="C31" s="36"/>
      <c r="D31" s="34" t="s">
        <v>92</v>
      </c>
      <c r="E31" s="35"/>
    </row>
    <row r="32" spans="1:5" x14ac:dyDescent="0.25">
      <c r="C32" s="36"/>
      <c r="D32" s="34" t="s">
        <v>92</v>
      </c>
      <c r="E32" s="35"/>
    </row>
    <row r="33" spans="3:5" x14ac:dyDescent="0.25">
      <c r="C33" s="36"/>
      <c r="D33" s="34" t="s">
        <v>92</v>
      </c>
      <c r="E33" s="35"/>
    </row>
    <row r="34" spans="3:5" x14ac:dyDescent="0.25">
      <c r="C34" s="36"/>
      <c r="D34" s="34" t="s">
        <v>92</v>
      </c>
      <c r="E34" s="35"/>
    </row>
    <row r="35" spans="3:5" x14ac:dyDescent="0.25">
      <c r="C35" s="36"/>
      <c r="D35" s="34" t="s">
        <v>92</v>
      </c>
      <c r="E35" s="35"/>
    </row>
    <row r="36" spans="3:5" x14ac:dyDescent="0.25">
      <c r="C36" s="36"/>
      <c r="D36" s="34" t="s">
        <v>92</v>
      </c>
      <c r="E36" s="35"/>
    </row>
    <row r="37" spans="3:5" x14ac:dyDescent="0.25">
      <c r="C37" s="36"/>
      <c r="D37" s="34" t="s">
        <v>92</v>
      </c>
      <c r="E37" s="35"/>
    </row>
    <row r="38" spans="3:5" x14ac:dyDescent="0.25">
      <c r="C38" s="36"/>
      <c r="D38" s="34" t="s">
        <v>92</v>
      </c>
      <c r="E38" s="35"/>
    </row>
    <row r="39" spans="3:5" x14ac:dyDescent="0.25">
      <c r="C39" s="36"/>
      <c r="D39" s="34" t="s">
        <v>92</v>
      </c>
      <c r="E39" s="35"/>
    </row>
    <row r="40" spans="3:5" x14ac:dyDescent="0.25">
      <c r="C40" s="36"/>
      <c r="D40" s="34" t="s">
        <v>92</v>
      </c>
      <c r="E40" s="35"/>
    </row>
    <row r="41" spans="3:5" x14ac:dyDescent="0.25">
      <c r="C41" s="36"/>
      <c r="D41" s="34" t="s">
        <v>92</v>
      </c>
      <c r="E41" s="35"/>
    </row>
    <row r="42" spans="3:5" x14ac:dyDescent="0.25">
      <c r="C42" s="36"/>
      <c r="D42" s="34" t="s">
        <v>92</v>
      </c>
      <c r="E42" s="35"/>
    </row>
    <row r="43" spans="3:5" x14ac:dyDescent="0.25">
      <c r="C43" s="36"/>
      <c r="D43" s="34" t="s">
        <v>92</v>
      </c>
      <c r="E43" s="35"/>
    </row>
    <row r="44" spans="3:5" x14ac:dyDescent="0.25">
      <c r="C44" s="36"/>
      <c r="D44" s="34" t="s">
        <v>92</v>
      </c>
      <c r="E44" s="35"/>
    </row>
    <row r="45" spans="3:5" x14ac:dyDescent="0.25">
      <c r="C45" s="36"/>
      <c r="D45" s="34" t="s">
        <v>92</v>
      </c>
      <c r="E45" s="35"/>
    </row>
    <row r="46" spans="3:5" x14ac:dyDescent="0.25">
      <c r="C46" s="36"/>
      <c r="D46" s="34" t="s">
        <v>92</v>
      </c>
      <c r="E46" s="35"/>
    </row>
  </sheetData>
  <sheetProtection selectLockedCells="1"/>
  <mergeCells count="2">
    <mergeCell ref="C8:E8"/>
    <mergeCell ref="C4:I4"/>
  </mergeCells>
  <dataValidations count="2">
    <dataValidation type="list" allowBlank="1" showInputMessage="1" showErrorMessage="1" sqref="D11:D46" xr:uid="{C74836A9-ECA3-4419-B5C6-F2CD76282EEC}">
      <formula1>"HOLHERITE,CNPJ,FREELANCE"</formula1>
    </dataValidation>
    <dataValidation type="list" allowBlank="1" showInputMessage="1" showErrorMessage="1" sqref="D10" xr:uid="{59AA592A-E3C2-45AE-AC0F-0459019E43F9}">
      <formula1>"HOLHERITE,CNPJ,FREELANCE"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323B-5765-4220-AF27-B521843CD53F}">
  <dimension ref="A1:E43"/>
  <sheetViews>
    <sheetView showGridLines="0" showRowColHeaders="0" tabSelected="1" zoomScale="115" zoomScaleNormal="115" workbookViewId="0">
      <selection activeCell="H12" sqref="H12"/>
    </sheetView>
  </sheetViews>
  <sheetFormatPr defaultRowHeight="15" x14ac:dyDescent="0.25"/>
  <cols>
    <col min="1" max="1" width="31.42578125" customWidth="1"/>
    <col min="3" max="3" width="58.28515625" customWidth="1"/>
    <col min="4" max="4" width="40.7109375" customWidth="1"/>
    <col min="5" max="5" width="23.7109375" customWidth="1"/>
  </cols>
  <sheetData>
    <row r="1" spans="1:5" x14ac:dyDescent="0.25">
      <c r="A1" s="1"/>
    </row>
    <row r="2" spans="1:5" x14ac:dyDescent="0.25">
      <c r="A2" s="1"/>
    </row>
    <row r="3" spans="1:5" x14ac:dyDescent="0.25">
      <c r="A3" s="1"/>
    </row>
    <row r="4" spans="1:5" ht="20.25" thickBot="1" x14ac:dyDescent="0.3">
      <c r="A4" s="1"/>
      <c r="C4" s="11" t="s">
        <v>94</v>
      </c>
      <c r="D4" s="8"/>
      <c r="E4" s="8"/>
    </row>
    <row r="5" spans="1:5" ht="26.25" customHeight="1" thickTop="1" x14ac:dyDescent="0.25">
      <c r="A5" s="1"/>
      <c r="C5" s="15" t="s">
        <v>95</v>
      </c>
      <c r="D5" s="9"/>
      <c r="E5" s="9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9" spans="1:5" x14ac:dyDescent="0.25">
      <c r="A9" s="1"/>
    </row>
    <row r="10" spans="1:5" x14ac:dyDescent="0.25">
      <c r="A10" s="1"/>
      <c r="C10" s="38" t="s">
        <v>26</v>
      </c>
      <c r="D10" s="38" t="s">
        <v>90</v>
      </c>
      <c r="E10" s="38" t="s">
        <v>93</v>
      </c>
    </row>
    <row r="11" spans="1:5" x14ac:dyDescent="0.25">
      <c r="A11" s="1"/>
      <c r="C11" s="39" t="str">
        <f>INFORME!D11</f>
        <v>1 - Banco do Brasil</v>
      </c>
      <c r="D11" s="40">
        <f>INFORME!D12</f>
        <v>500000</v>
      </c>
      <c r="E11" s="41">
        <f>IFERROR(D11/SUM($D$11:$D$13),0)</f>
        <v>0.11590977583049354</v>
      </c>
    </row>
    <row r="12" spans="1:5" x14ac:dyDescent="0.25">
      <c r="A12" s="1"/>
      <c r="C12" s="39" t="str">
        <f>INFORME!D16</f>
        <v>735 - Banco Neon</v>
      </c>
      <c r="D12" s="40">
        <f>INFORME!D17</f>
        <v>3690000</v>
      </c>
      <c r="E12" s="41">
        <f t="shared" ref="E12:E13" si="0">IFERROR(D12/SUM($D$11:$D$13),0)</f>
        <v>0.85541414562904239</v>
      </c>
    </row>
    <row r="13" spans="1:5" ht="15.75" thickBot="1" x14ac:dyDescent="0.3">
      <c r="A13" s="1"/>
      <c r="C13" s="42" t="str">
        <f>INFORME!D21</f>
        <v>77 - Banco Inter</v>
      </c>
      <c r="D13" s="43">
        <f>INFORME!D22</f>
        <v>123700</v>
      </c>
      <c r="E13" s="44">
        <f t="shared" si="0"/>
        <v>2.8676078540464101E-2</v>
      </c>
    </row>
    <row r="14" spans="1:5" ht="18.75" thickTop="1" x14ac:dyDescent="0.25">
      <c r="A14" s="1"/>
      <c r="C14" s="45" t="s">
        <v>85</v>
      </c>
      <c r="D14" s="47">
        <f>SUM(D11:D13)</f>
        <v>4313700</v>
      </c>
      <c r="E14" s="46">
        <f>SUM(E11:E13)</f>
        <v>1</v>
      </c>
    </row>
    <row r="15" spans="1:5" x14ac:dyDescent="0.25">
      <c r="A15" s="1"/>
    </row>
    <row r="16" spans="1:5" x14ac:dyDescent="0.25">
      <c r="A16" s="1"/>
    </row>
    <row r="17" spans="1:3" x14ac:dyDescent="0.25">
      <c r="A17" s="1"/>
      <c r="C17" s="37"/>
    </row>
    <row r="18" spans="1:3" x14ac:dyDescent="0.25">
      <c r="A18" s="1"/>
    </row>
    <row r="19" spans="1:3" x14ac:dyDescent="0.25">
      <c r="A19" s="1"/>
    </row>
    <row r="20" spans="1:3" x14ac:dyDescent="0.25">
      <c r="A20" s="1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71BD-078D-44AF-8C1D-6427E1250B1D}">
  <dimension ref="A1:A50"/>
  <sheetViews>
    <sheetView workbookViewId="0">
      <selection activeCell="K14" sqref="K14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</vt:lpstr>
      <vt:lpstr>NOTAS</vt:lpstr>
      <vt:lpstr>DASHBOARD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Breno Martins</dc:creator>
  <cp:lastModifiedBy>Guilherme Breno Martins</cp:lastModifiedBy>
  <dcterms:created xsi:type="dcterms:W3CDTF">2026-10-14T00:20:12Z</dcterms:created>
  <dcterms:modified xsi:type="dcterms:W3CDTF">2026-10-15T20:51:03Z</dcterms:modified>
</cp:coreProperties>
</file>